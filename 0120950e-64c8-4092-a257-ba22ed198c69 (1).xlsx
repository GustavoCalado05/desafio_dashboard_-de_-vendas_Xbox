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973A0DF-34DC-48C2-B643-663657E8FA70}" xr6:coauthVersionLast="47" xr6:coauthVersionMax="47" xr10:uidLastSave="{00000000-0000-0000-0000-000000000000}"/>
  <bookViews>
    <workbookView xWindow="-20610" yWindow="-1350" windowWidth="20730" windowHeight="1176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<sst xmlns="http://schemas.openxmlformats.org/spreadsheetml/2006/main" count="2022" uniqueCount="324">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</sst>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/>
  <cols>
    <col min="2" max="2" width="19" bestFit="1" customWidth="1"/>
    <col min="3" max="3" width="3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>
      <c r="B3" s="19" t="s">
        <v>313</v>
      </c>
      <c r="C3" s="19"/>
      <c r="D3" s="19"/>
      <c r="E3" s="19"/>
      <c r="F3" s="19"/>
    </row>
    <row r="6" spans="2:6">
      <c r="B6" t="s">
        <v>314</v>
      </c>
    </row>
    <row r="7" spans="2:6">
      <c r="B7" t="s">
        <v>315</v>
      </c>
    </row>
    <row r="9" spans="2:6">
      <c r="B9" s="12" t="s">
        <v>17</v>
      </c>
      <c r="C9" t="s">
        <v>31</v>
      </c>
    </row>
    <row r="11" spans="2:6">
      <c r="B11" s="12" t="s">
        <v>316</v>
      </c>
      <c r="C11" t="s">
        <v>317</v>
      </c>
    </row>
    <row r="12" spans="2:6">
      <c r="B12" s="14" t="s">
        <v>30</v>
      </c>
      <c r="C12" s="13">
        <v>217</v>
      </c>
    </row>
    <row r="13" spans="2:6">
      <c r="B13" s="14" t="s">
        <v>26</v>
      </c>
      <c r="C13" s="13">
        <v>1537</v>
      </c>
    </row>
    <row r="14" spans="2:6">
      <c r="B14" s="14" t="s">
        <v>318</v>
      </c>
      <c r="C14" s="13">
        <v>1754</v>
      </c>
    </row>
    <row r="17" spans="2:5">
      <c r="B17" s="14" t="s">
        <v>319</v>
      </c>
    </row>
    <row r="19" spans="2:5">
      <c r="B19" s="12" t="s">
        <v>17</v>
      </c>
      <c r="C19" t="s">
        <v>31</v>
      </c>
    </row>
    <row r="21" spans="2:5">
      <c r="B21" s="12" t="s">
        <v>316</v>
      </c>
      <c r="C21" t="s">
        <v>320</v>
      </c>
    </row>
    <row r="22" spans="2:5">
      <c r="B22" s="14" t="s">
        <v>29</v>
      </c>
      <c r="C22" s="20">
        <v>0</v>
      </c>
    </row>
    <row r="23" spans="2:5">
      <c r="B23" s="14" t="s">
        <v>34</v>
      </c>
      <c r="C23" s="20">
        <v>0</v>
      </c>
    </row>
    <row r="24" spans="2:5">
      <c r="B24" s="14" t="s">
        <v>25</v>
      </c>
      <c r="C24" s="20">
        <v>600</v>
      </c>
    </row>
    <row r="25" spans="2:5">
      <c r="B25" s="14" t="s">
        <v>318</v>
      </c>
      <c r="C25" s="20">
        <v>600</v>
      </c>
      <c r="E25" s="16">
        <f>GETPIVOTDATA("EA Play Season Pass
Price",$B$21)</f>
        <v>600</v>
      </c>
    </row>
    <row r="28" spans="2:5">
      <c r="B28" s="14" t="s">
        <v>321</v>
      </c>
    </row>
    <row r="30" spans="2:5">
      <c r="B30" s="12" t="s">
        <v>17</v>
      </c>
      <c r="C30" t="s">
        <v>31</v>
      </c>
    </row>
    <row r="32" spans="2:5">
      <c r="B32" s="12" t="s">
        <v>316</v>
      </c>
      <c r="C32" t="s">
        <v>322</v>
      </c>
    </row>
    <row r="33" spans="2:5">
      <c r="B33" s="14" t="s">
        <v>29</v>
      </c>
      <c r="C33" s="13">
        <v>0</v>
      </c>
    </row>
    <row r="34" spans="2:5">
      <c r="B34" s="14" t="s">
        <v>34</v>
      </c>
      <c r="C34" s="13">
        <v>540</v>
      </c>
    </row>
    <row r="35" spans="2:5">
      <c r="B35" s="14" t="s">
        <v>25</v>
      </c>
      <c r="C35" s="13">
        <v>400</v>
      </c>
    </row>
    <row r="36" spans="2:5">
      <c r="B36" s="14" t="s">
        <v>318</v>
      </c>
      <c r="C36" s="13">
        <v>940</v>
      </c>
      <c r="E36" s="16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/>
    <row r="4" spans="1:19" s="7" customFormat="1" ht="8.25" customHeight="1">
      <c r="A4" s="4"/>
    </row>
    <row r="5" spans="1:19" s="7" customFormat="1" ht="7.5" customHeight="1">
      <c r="A5" s="4"/>
    </row>
    <row r="6" spans="1:19" s="7" customFormat="1" ht="10.5" customHeight="1">
      <c r="A6" s="4"/>
    </row>
    <row r="7" spans="1:19" s="7" customFormat="1" ht="9.75" customHeight="1">
      <c r="A7" s="4"/>
    </row>
    <row r="8" spans="1:19" s="7" customFormat="1" ht="11.25" customHeight="1">
      <c r="A8" s="4"/>
    </row>
    <row r="9" spans="1:19" s="7" customFormat="1">
      <c r="A9" s="4"/>
    </row>
    <row r="10" spans="1:19" s="7" customFormat="1">
      <c r="A10" s="4"/>
    </row>
    <row r="11" spans="1:19" s="7" customFormat="1" ht="14.25" customHeight="1">
      <c r="A11" s="4"/>
    </row>
    <row r="12" spans="1:19" s="7" customFormat="1">
      <c r="A12" s="4"/>
    </row>
    <row r="13" spans="1:19" s="7" customFormat="1">
      <c r="A13" s="4"/>
    </row>
    <row r="14" spans="1:19" s="7" customFormat="1">
      <c r="A14" s="4"/>
    </row>
    <row r="15" spans="1:19" s="7" customFormat="1">
      <c r="A15" s="4"/>
    </row>
    <row r="16" spans="1:19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/>
</file>

<file path=customXml/itemProps2.xml><?xml version="1.0" encoding="utf-8"?>
<ds:datastoreItem xmlns:ds="http://schemas.openxmlformats.org/officeDocument/2006/customXml" ds:itemID="{A6A6278B-0476-46CE-815A-3F41F4371156}"/>
</file>

<file path=customXml/itemProps3.xml><?xml version="1.0" encoding="utf-8"?>
<ds:datastoreItem xmlns:ds="http://schemas.openxmlformats.org/officeDocument/2006/customXml" ds:itemID="{499037E4-A6E4-45D3-B93A-3D2B6A0C2B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2025-12-05T03:44:57Z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